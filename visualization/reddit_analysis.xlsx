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OneDrive\Bureau\"/>
    </mc:Choice>
  </mc:AlternateContent>
  <xr:revisionPtr revIDLastSave="0" documentId="13_ncr:1_{002F0E17-30A7-412F-A9F1-E859CE11D8EF}" xr6:coauthVersionLast="47" xr6:coauthVersionMax="47" xr10:uidLastSave="{00000000-0000-0000-0000-000000000000}"/>
  <bookViews>
    <workbookView xWindow="-16395" yWindow="11880" windowWidth="16410" windowHeight="11295" activeTab="1" xr2:uid="{1FA049B5-96F6-4261-BE40-03739242CA83}"/>
  </bookViews>
  <sheets>
    <sheet name="Global" sheetId="1" r:id="rId1"/>
    <sheet name="Flairs" sheetId="2" r:id="rId2"/>
    <sheet name="Langage" sheetId="4" r:id="rId3"/>
    <sheet name="Moy users" sheetId="3" r:id="rId4"/>
    <sheet name="Records us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C20" i="3"/>
  <c r="D20" i="3"/>
  <c r="B20" i="3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G25" i="2"/>
  <c r="F25" i="2"/>
  <c r="E25" i="2"/>
  <c r="D25" i="2"/>
  <c r="C25" i="2"/>
  <c r="B25" i="2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D31" i="1"/>
  <c r="E31" i="1"/>
  <c r="F31" i="1"/>
  <c r="G31" i="1"/>
  <c r="H31" i="1"/>
  <c r="I31" i="1"/>
  <c r="C26" i="1"/>
  <c r="C27" i="1"/>
  <c r="C28" i="1"/>
  <c r="C29" i="1"/>
  <c r="C30" i="1"/>
  <c r="C31" i="1"/>
  <c r="B27" i="1"/>
  <c r="B28" i="1"/>
  <c r="B29" i="1"/>
  <c r="B30" i="1"/>
  <c r="B31" i="1"/>
  <c r="B26" i="1"/>
  <c r="I25" i="1"/>
  <c r="H25" i="1"/>
  <c r="G25" i="1"/>
  <c r="F25" i="1"/>
  <c r="E25" i="1"/>
  <c r="D25" i="1"/>
  <c r="C25" i="1"/>
  <c r="B25" i="1"/>
</calcChain>
</file>

<file path=xl/sharedStrings.xml><?xml version="1.0" encoding="utf-8"?>
<sst xmlns="http://schemas.openxmlformats.org/spreadsheetml/2006/main" count="131" uniqueCount="70">
  <si>
    <t>Nombre de commentaires</t>
  </si>
  <si>
    <t>Nombre de postes</t>
  </si>
  <si>
    <t>Posts ayant le reçu le plus de commentaires</t>
  </si>
  <si>
    <t>Nombre de commentaires moyen par postes</t>
  </si>
  <si>
    <t>Nombre d'utilisateur actif</t>
  </si>
  <si>
    <t>Politique</t>
  </si>
  <si>
    <t>Flairs</t>
  </si>
  <si>
    <t>Global</t>
  </si>
  <si>
    <t>Ask France</t>
  </si>
  <si>
    <t>Société</t>
  </si>
  <si>
    <t>Actus</t>
  </si>
  <si>
    <t>Culture</t>
  </si>
  <si>
    <t>Ecologie</t>
  </si>
  <si>
    <t>Forum Libre</t>
  </si>
  <si>
    <t>Paywall</t>
  </si>
  <si>
    <t>Humour</t>
  </si>
  <si>
    <t>Economie</t>
  </si>
  <si>
    <t>Science</t>
  </si>
  <si>
    <t>Fait Divers</t>
  </si>
  <si>
    <t>Méta</t>
  </si>
  <si>
    <t>Sport</t>
  </si>
  <si>
    <t>Annonce</t>
  </si>
  <si>
    <t>Musique</t>
  </si>
  <si>
    <t>Covid-19</t>
  </si>
  <si>
    <t>Soft paywall</t>
  </si>
  <si>
    <t>Cinéma Séries</t>
  </si>
  <si>
    <t>Trompeur ?</t>
  </si>
  <si>
    <t>AMA</t>
  </si>
  <si>
    <t>Elections</t>
  </si>
  <si>
    <t>Moyenne par utilisateurs</t>
  </si>
  <si>
    <t>Nombre de postes moyen</t>
  </si>
  <si>
    <t>Nombre de commentaires moyen</t>
  </si>
  <si>
    <t>Mots apparaissant le plus dans les titres</t>
  </si>
  <si>
    <t>Mots apparaissant le plus dans les commentaires</t>
  </si>
  <si>
    <t>Records des utilisateurs</t>
  </si>
  <si>
    <t>Avec le plus de postes</t>
  </si>
  <si>
    <t>Avec le plus de commentaires</t>
  </si>
  <si>
    <t>Ayant écrit le plus de mots</t>
  </si>
  <si>
    <t>Avec le plus grand vocabulaire</t>
  </si>
  <si>
    <t>Ayant écrit le plus long commentaire</t>
  </si>
  <si>
    <t>Nombre de mots moyen par commentaire</t>
  </si>
  <si>
    <t>France[373], français[148], paris[145]</t>
  </si>
  <si>
    <t>Pas[83482], bien[16417], non[9445]</t>
  </si>
  <si>
    <t>/r/france/comments/ydyunu/messieurs_ne_pas_pouvoir_sessuyer_le_gland_dans/</t>
  </si>
  <si>
    <t>/r/france/comments/y7ijuq/jai_fini_par_détester_les_motards/</t>
  </si>
  <si>
    <t>/r/france/comments/yip6ak/dégage_de_là_sur_lautoroute_a6_des_automobilistes/</t>
  </si>
  <si>
    <t>Lien postes avec le plus de com</t>
  </si>
  <si>
    <t>Nombre de posts</t>
  </si>
  <si>
    <t>Nombre de mots moyen par utilisateur</t>
  </si>
  <si>
    <t>Bandolinho2[62612]</t>
  </si>
  <si>
    <t>Bandolinho2[11126]</t>
  </si>
  <si>
    <t>Niafron[10009]</t>
  </si>
  <si>
    <t>/r/france/comments/y8ap86/affaire_garridocorbière_derrière_la_fausse/isyyc2q/</t>
  </si>
  <si>
    <t>France[372], monde[134], français[134]</t>
  </si>
  <si>
    <t>Pas[60994], bien[12163], non[6583]</t>
  </si>
  <si>
    <t>/r/france/comments/ytd69z/quel_est_votre_repas_dégueu_pour_les_autres_mais/</t>
  </si>
  <si>
    <t>/r/france/comments/z81si5/existetil_des_personnes_qui_se_sont_faites_toutes/</t>
  </si>
  <si>
    <t>/r/france/comments/yzmf0p/ocean_viking_totalement_dépassée_la_justice_a/</t>
  </si>
  <si>
    <t>morinl[945],AutoModerator[558],quaternoon[364]</t>
  </si>
  <si>
    <t>FrankMaleir[68],GrenobleLyon[52],Hellvis_50s[52]</t>
  </si>
  <si>
    <t>morinl[1421],AutoModerator[686],Hawne[633]</t>
  </si>
  <si>
    <t>Starlight-786[75],GrenobleLyon[59],Fearless-Cricket3297[52]</t>
  </si>
  <si>
    <t>AutoModerator[39422],Folivao[39041]</t>
  </si>
  <si>
    <t>Folivao[9470]</t>
  </si>
  <si>
    <t>Folivao[9997]</t>
  </si>
  <si>
    <t>/r/france/comments/yusxfg/la_juge_belge_qui_a_arrêté_les_terroristes_du/iwb1o58/</t>
  </si>
  <si>
    <t>Langage</t>
  </si>
  <si>
    <t>Différence (%)</t>
  </si>
  <si>
    <t>/r/france/comments/z2kqtp/audiences_tv_avec_125_millions_de_téléspectateurs/</t>
  </si>
  <si>
    <t>https://www.reddit.com/r/france/comments/ynqy6t/une_majorité_de_français_se_disent_prêts_à_rouler/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</si>
</sst>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D4D4D4"/>
      <name val="Consolas"/>
      <family val="3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/>
    <xf numFmtId="9" fontId="0" fillId="0" borderId="0" xfId="1" applyFont="1"/>
    <xf numFmtId="0" fontId="3" fillId="0" borderId="0" xfId="2"/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ddit.com/r/france/comments/ynqy6t/une_majorit&#233;_de_fran&#231;ais_se_disent_pr&#234;ts_&#224;_rou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CEE9-4221-43A3-803F-79FC66CEF343}">
  <dimension ref="A2:I31"/>
  <sheetViews>
    <sheetView topLeftCell="E1" workbookViewId="0">
      <selection activeCell="G24" sqref="G24"/>
    </sheetView>
  </sheetViews>
  <sheetFormatPr baseColWidth="10" defaultRowHeight="15" x14ac:dyDescent="0.25"/>
  <cols>
    <col min="1" max="1" width="8" bestFit="1" customWidth="1"/>
    <col min="2" max="2" width="17.42578125" bestFit="1" customWidth="1"/>
    <col min="3" max="3" width="24.42578125" bestFit="1" customWidth="1"/>
    <col min="4" max="4" width="12.42578125" customWidth="1"/>
    <col min="5" max="5" width="16.5703125" customWidth="1"/>
    <col min="6" max="6" width="16.85546875" customWidth="1"/>
    <col min="7" max="7" width="41" bestFit="1" customWidth="1"/>
    <col min="8" max="8" width="38.7109375" bestFit="1" customWidth="1"/>
    <col min="9" max="9" width="24" bestFit="1" customWidth="1"/>
    <col min="10" max="10" width="24.42578125" bestFit="1" customWidth="1"/>
    <col min="11" max="11" width="29" bestFit="1" customWidth="1"/>
    <col min="12" max="12" width="24.42578125" bestFit="1" customWidth="1"/>
    <col min="13" max="13" width="29" bestFit="1" customWidth="1"/>
    <col min="14" max="14" width="24.42578125" bestFit="1" customWidth="1"/>
    <col min="15" max="15" width="29" bestFit="1" customWidth="1"/>
    <col min="16" max="16" width="24.42578125" bestFit="1" customWidth="1"/>
    <col min="17" max="17" width="29" bestFit="1" customWidth="1"/>
    <col min="18" max="18" width="24.42578125" bestFit="1" customWidth="1"/>
    <col min="19" max="19" width="29" bestFit="1" customWidth="1"/>
    <col min="20" max="20" width="24.42578125" bestFit="1" customWidth="1"/>
    <col min="21" max="21" width="29" bestFit="1" customWidth="1"/>
    <col min="22" max="22" width="24.42578125" bestFit="1" customWidth="1"/>
    <col min="23" max="23" width="29" bestFit="1" customWidth="1"/>
    <col min="24" max="24" width="24.42578125" bestFit="1" customWidth="1"/>
    <col min="25" max="25" width="29" bestFit="1" customWidth="1"/>
    <col min="26" max="35" width="24.42578125" bestFit="1" customWidth="1"/>
    <col min="36" max="36" width="11.85546875" bestFit="1" customWidth="1"/>
    <col min="38" max="38" width="13.5703125" bestFit="1" customWidth="1"/>
    <col min="40" max="40" width="11.140625" bestFit="1" customWidth="1"/>
    <col min="42" max="42" width="5.28515625" bestFit="1" customWidth="1"/>
    <col min="44" max="44" width="9" bestFit="1" customWidth="1"/>
  </cols>
  <sheetData>
    <row r="2" spans="1:9" x14ac:dyDescent="0.25">
      <c r="A2" t="s">
        <v>7</v>
      </c>
      <c r="B2" t="s">
        <v>1</v>
      </c>
      <c r="C2" t="s">
        <v>0</v>
      </c>
      <c r="D2" s="4" t="s">
        <v>2</v>
      </c>
      <c r="E2" s="4"/>
      <c r="F2" s="4"/>
      <c r="G2" t="s">
        <v>3</v>
      </c>
      <c r="H2" t="s">
        <v>40</v>
      </c>
      <c r="I2" t="s">
        <v>4</v>
      </c>
    </row>
    <row r="3" spans="1:9" x14ac:dyDescent="0.25">
      <c r="A3" s="2">
        <v>44835</v>
      </c>
      <c r="B3">
        <v>4601</v>
      </c>
      <c r="C3">
        <v>126855</v>
      </c>
      <c r="D3">
        <v>595</v>
      </c>
      <c r="E3">
        <v>495</v>
      </c>
      <c r="F3">
        <v>494</v>
      </c>
      <c r="G3">
        <v>27.52</v>
      </c>
      <c r="H3">
        <v>41.081384257616897</v>
      </c>
      <c r="I3">
        <v>69757</v>
      </c>
    </row>
    <row r="4" spans="1:9" x14ac:dyDescent="0.25">
      <c r="A4" s="2">
        <v>44866</v>
      </c>
      <c r="B4">
        <v>4515</v>
      </c>
      <c r="C4">
        <v>93932</v>
      </c>
      <c r="D4">
        <v>496</v>
      </c>
      <c r="E4">
        <v>410</v>
      </c>
      <c r="F4">
        <v>404</v>
      </c>
      <c r="G4">
        <v>20.72</v>
      </c>
      <c r="H4">
        <v>40.545149682749198</v>
      </c>
      <c r="I4">
        <v>52082</v>
      </c>
    </row>
    <row r="5" spans="1:9" x14ac:dyDescent="0.25">
      <c r="A5" s="2">
        <v>44896</v>
      </c>
    </row>
    <row r="6" spans="1:9" x14ac:dyDescent="0.25">
      <c r="A6" s="2">
        <v>44927</v>
      </c>
    </row>
    <row r="7" spans="1:9" x14ac:dyDescent="0.25">
      <c r="A7" s="2">
        <v>44958</v>
      </c>
    </row>
    <row r="8" spans="1:9" x14ac:dyDescent="0.25">
      <c r="A8" s="2">
        <v>44986</v>
      </c>
    </row>
    <row r="9" spans="1:9" x14ac:dyDescent="0.25">
      <c r="A9" s="2">
        <v>45017</v>
      </c>
    </row>
    <row r="10" spans="1:9" x14ac:dyDescent="0.25">
      <c r="A10" s="2">
        <v>45047</v>
      </c>
    </row>
    <row r="12" spans="1:9" x14ac:dyDescent="0.25">
      <c r="B12" s="3" t="s">
        <v>68</v>
      </c>
    </row>
    <row r="13" spans="1:9" x14ac:dyDescent="0.25">
      <c r="B13" s="3" t="s">
        <v>56</v>
      </c>
    </row>
    <row r="14" spans="1:9" x14ac:dyDescent="0.25">
      <c r="B14" s="8" t="s">
        <v>69</v>
      </c>
    </row>
    <row r="20" spans="1:9" x14ac:dyDescent="0.25">
      <c r="A20" s="5" t="s">
        <v>67</v>
      </c>
      <c r="B20" s="5"/>
      <c r="C20" s="5"/>
      <c r="D20" s="5"/>
      <c r="E20" s="5"/>
      <c r="F20" s="5"/>
      <c r="G20" s="5"/>
      <c r="H20" s="5"/>
      <c r="I20" s="5"/>
    </row>
    <row r="23" spans="1:9" x14ac:dyDescent="0.25">
      <c r="A23" t="s">
        <v>7</v>
      </c>
      <c r="B23" t="s">
        <v>1</v>
      </c>
      <c r="C23" t="s">
        <v>0</v>
      </c>
      <c r="D23" s="4" t="s">
        <v>2</v>
      </c>
      <c r="E23" s="4"/>
      <c r="F23" s="4"/>
      <c r="G23" t="s">
        <v>3</v>
      </c>
      <c r="H23" t="s">
        <v>40</v>
      </c>
      <c r="I23" t="s">
        <v>4</v>
      </c>
    </row>
    <row r="24" spans="1:9" x14ac:dyDescent="0.25">
      <c r="A24" s="2">
        <v>44835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s="2">
        <v>44866</v>
      </c>
      <c r="B25" s="7">
        <f>B4/B3</f>
        <v>0.98130841121495327</v>
      </c>
      <c r="C25" s="7">
        <f>C4/C3</f>
        <v>0.74046746285128695</v>
      </c>
      <c r="D25" s="7">
        <f>D4/D3</f>
        <v>0.8336134453781513</v>
      </c>
      <c r="E25" s="7">
        <f>E4/E3</f>
        <v>0.82828282828282829</v>
      </c>
      <c r="F25" s="7">
        <f>F4/F3</f>
        <v>0.81781376518218618</v>
      </c>
      <c r="G25" s="7">
        <f>G4/G3</f>
        <v>0.75290697674418605</v>
      </c>
      <c r="H25" s="7">
        <f>H4/H3</f>
        <v>0.98694701786324845</v>
      </c>
      <c r="I25" s="7">
        <f>I4/I3</f>
        <v>0.74662041085482456</v>
      </c>
    </row>
    <row r="26" spans="1:9" x14ac:dyDescent="0.25">
      <c r="A26" s="2">
        <v>44896</v>
      </c>
      <c r="B26" s="7">
        <f>B5/B4</f>
        <v>0</v>
      </c>
      <c r="C26" s="7">
        <f t="shared" ref="C26:I31" si="0">C5/C4</f>
        <v>0</v>
      </c>
      <c r="D26" s="7">
        <f>D5/D4</f>
        <v>0</v>
      </c>
      <c r="E26" s="7">
        <f>E5/E4</f>
        <v>0</v>
      </c>
      <c r="F26" s="7">
        <f>F5/F4</f>
        <v>0</v>
      </c>
      <c r="G26" s="7">
        <f>G5/G4</f>
        <v>0</v>
      </c>
      <c r="H26" s="7">
        <f>H5/H4</f>
        <v>0</v>
      </c>
      <c r="I26" s="7">
        <f>I5/I4</f>
        <v>0</v>
      </c>
    </row>
    <row r="27" spans="1:9" x14ac:dyDescent="0.25">
      <c r="A27" s="2">
        <v>44927</v>
      </c>
      <c r="B27" s="7" t="e">
        <f t="shared" ref="B27:B31" si="1">B6/B5</f>
        <v>#DIV/0!</v>
      </c>
      <c r="C27" s="7" t="e">
        <f t="shared" si="0"/>
        <v>#DIV/0!</v>
      </c>
      <c r="D27" s="7" t="e">
        <f t="shared" si="0"/>
        <v>#DIV/0!</v>
      </c>
      <c r="E27" s="7" t="e">
        <f t="shared" si="0"/>
        <v>#DIV/0!</v>
      </c>
      <c r="F27" s="7" t="e">
        <f t="shared" si="0"/>
        <v>#DIV/0!</v>
      </c>
      <c r="G27" s="7" t="e">
        <f t="shared" si="0"/>
        <v>#DIV/0!</v>
      </c>
      <c r="H27" s="7" t="e">
        <f t="shared" si="0"/>
        <v>#DIV/0!</v>
      </c>
      <c r="I27" s="7" t="e">
        <f t="shared" si="0"/>
        <v>#DIV/0!</v>
      </c>
    </row>
    <row r="28" spans="1:9" x14ac:dyDescent="0.25">
      <c r="A28" s="2">
        <v>44958</v>
      </c>
      <c r="B28" s="7" t="e">
        <f t="shared" si="1"/>
        <v>#DIV/0!</v>
      </c>
      <c r="C28" s="7" t="e">
        <f t="shared" si="0"/>
        <v>#DIV/0!</v>
      </c>
      <c r="D28" s="7" t="e">
        <f t="shared" si="0"/>
        <v>#DIV/0!</v>
      </c>
      <c r="E28" s="7" t="e">
        <f t="shared" si="0"/>
        <v>#DIV/0!</v>
      </c>
      <c r="F28" s="7" t="e">
        <f t="shared" si="0"/>
        <v>#DIV/0!</v>
      </c>
      <c r="G28" s="7" t="e">
        <f t="shared" si="0"/>
        <v>#DIV/0!</v>
      </c>
      <c r="H28" s="7" t="e">
        <f t="shared" si="0"/>
        <v>#DIV/0!</v>
      </c>
      <c r="I28" s="7" t="e">
        <f t="shared" si="0"/>
        <v>#DIV/0!</v>
      </c>
    </row>
    <row r="29" spans="1:9" x14ac:dyDescent="0.25">
      <c r="A29" s="2">
        <v>44986</v>
      </c>
      <c r="B29" s="7" t="e">
        <f t="shared" si="1"/>
        <v>#DIV/0!</v>
      </c>
      <c r="C29" s="7" t="e">
        <f t="shared" si="0"/>
        <v>#DIV/0!</v>
      </c>
      <c r="D29" s="7" t="e">
        <f t="shared" si="0"/>
        <v>#DIV/0!</v>
      </c>
      <c r="E29" s="7" t="e">
        <f t="shared" si="0"/>
        <v>#DIV/0!</v>
      </c>
      <c r="F29" s="7" t="e">
        <f t="shared" si="0"/>
        <v>#DIV/0!</v>
      </c>
      <c r="G29" s="7" t="e">
        <f t="shared" si="0"/>
        <v>#DIV/0!</v>
      </c>
      <c r="H29" s="7" t="e">
        <f t="shared" si="0"/>
        <v>#DIV/0!</v>
      </c>
      <c r="I29" s="7" t="e">
        <f t="shared" si="0"/>
        <v>#DIV/0!</v>
      </c>
    </row>
    <row r="30" spans="1:9" x14ac:dyDescent="0.25">
      <c r="A30" s="2">
        <v>45017</v>
      </c>
      <c r="B30" s="7" t="e">
        <f t="shared" si="1"/>
        <v>#DIV/0!</v>
      </c>
      <c r="C30" s="7" t="e">
        <f t="shared" si="0"/>
        <v>#DIV/0!</v>
      </c>
      <c r="D30" s="7" t="e">
        <f t="shared" si="0"/>
        <v>#DIV/0!</v>
      </c>
      <c r="E30" s="7" t="e">
        <f t="shared" si="0"/>
        <v>#DIV/0!</v>
      </c>
      <c r="F30" s="7" t="e">
        <f t="shared" si="0"/>
        <v>#DIV/0!</v>
      </c>
      <c r="G30" s="7" t="e">
        <f t="shared" si="0"/>
        <v>#DIV/0!</v>
      </c>
      <c r="H30" s="7" t="e">
        <f t="shared" si="0"/>
        <v>#DIV/0!</v>
      </c>
      <c r="I30" s="7" t="e">
        <f t="shared" si="0"/>
        <v>#DIV/0!</v>
      </c>
    </row>
    <row r="31" spans="1:9" x14ac:dyDescent="0.25">
      <c r="A31" s="2">
        <v>45047</v>
      </c>
      <c r="B31" s="7" t="e">
        <f t="shared" si="1"/>
        <v>#DIV/0!</v>
      </c>
      <c r="C31" s="7" t="e">
        <f t="shared" si="0"/>
        <v>#DIV/0!</v>
      </c>
      <c r="D31" s="7" t="e">
        <f t="shared" si="0"/>
        <v>#DIV/0!</v>
      </c>
      <c r="E31" s="7" t="e">
        <f t="shared" si="0"/>
        <v>#DIV/0!</v>
      </c>
      <c r="F31" s="7" t="e">
        <f t="shared" si="0"/>
        <v>#DIV/0!</v>
      </c>
      <c r="G31" s="7" t="e">
        <f t="shared" si="0"/>
        <v>#DIV/0!</v>
      </c>
      <c r="H31" s="7" t="e">
        <f t="shared" si="0"/>
        <v>#DIV/0!</v>
      </c>
      <c r="I31" s="7" t="e">
        <f t="shared" si="0"/>
        <v>#DIV/0!</v>
      </c>
    </row>
  </sheetData>
  <mergeCells count="3">
    <mergeCell ref="D2:F2"/>
    <mergeCell ref="D23:F23"/>
    <mergeCell ref="A20:I20"/>
  </mergeCells>
  <conditionalFormatting sqref="B25:I31">
    <cfRule type="colorScale" priority="1">
      <colorScale>
        <cfvo type="min"/>
        <cfvo type="num" val="1"/>
        <cfvo type="max"/>
        <color rgb="FFF8696B"/>
        <color rgb="FFFFEB84"/>
        <color rgb="FF63BE7B"/>
      </colorScale>
    </cfRule>
  </conditionalFormatting>
  <hyperlinks>
    <hyperlink ref="B14" r:id="rId1" xr:uid="{BC0B9969-9D11-4B3E-AD35-937E0CBF175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ACA6-9E89-4030-8F0D-124CF82A010B}">
  <dimension ref="A1:AA34"/>
  <sheetViews>
    <sheetView tabSelected="1" workbookViewId="0">
      <selection activeCell="F25" sqref="F25"/>
    </sheetView>
  </sheetViews>
  <sheetFormatPr baseColWidth="10" defaultRowHeight="15" x14ac:dyDescent="0.25"/>
  <cols>
    <col min="1" max="1" width="8" bestFit="1" customWidth="1"/>
    <col min="2" max="2" width="16.28515625" bestFit="1" customWidth="1"/>
    <col min="3" max="3" width="29.5703125" customWidth="1"/>
    <col min="4" max="4" width="24.42578125" bestFit="1" customWidth="1"/>
    <col min="5" max="5" width="28.7109375" customWidth="1"/>
    <col min="6" max="6" width="24.42578125" bestFit="1" customWidth="1"/>
    <col min="7" max="7" width="28.5703125" customWidth="1"/>
    <col min="8" max="8" width="24.42578125" bestFit="1" customWidth="1"/>
    <col min="9" max="9" width="28.7109375" customWidth="1"/>
    <col min="10" max="10" width="24.42578125" bestFit="1" customWidth="1"/>
    <col min="11" max="11" width="29" bestFit="1" customWidth="1"/>
    <col min="12" max="12" width="24.42578125" bestFit="1" customWidth="1"/>
    <col min="13" max="13" width="29" bestFit="1" customWidth="1"/>
    <col min="14" max="14" width="24.42578125" bestFit="1" customWidth="1"/>
    <col min="15" max="15" width="29" bestFit="1" customWidth="1"/>
    <col min="16" max="16" width="24.42578125" bestFit="1" customWidth="1"/>
    <col min="17" max="17" width="29" bestFit="1" customWidth="1"/>
    <col min="18" max="18" width="24.42578125" bestFit="1" customWidth="1"/>
    <col min="19" max="19" width="29" bestFit="1" customWidth="1"/>
    <col min="20" max="20" width="24.42578125" bestFit="1" customWidth="1"/>
    <col min="21" max="21" width="29" bestFit="1" customWidth="1"/>
    <col min="22" max="22" width="24.42578125" bestFit="1" customWidth="1"/>
    <col min="23" max="23" width="29" bestFit="1" customWidth="1"/>
    <col min="24" max="24" width="24.42578125" bestFit="1" customWidth="1"/>
    <col min="25" max="25" width="29" bestFit="1" customWidth="1"/>
    <col min="26" max="35" width="24.42578125" bestFit="1" customWidth="1"/>
  </cols>
  <sheetData>
    <row r="1" spans="1:27" x14ac:dyDescent="0.25">
      <c r="A1" s="4" t="s">
        <v>6</v>
      </c>
      <c r="B1" s="4" t="s">
        <v>8</v>
      </c>
      <c r="C1" s="4"/>
      <c r="D1" s="4" t="s">
        <v>9</v>
      </c>
      <c r="E1" s="4"/>
      <c r="F1" s="4" t="s">
        <v>5</v>
      </c>
      <c r="G1" s="4"/>
      <c r="H1" s="4" t="s">
        <v>10</v>
      </c>
      <c r="I1" s="4"/>
      <c r="J1" s="6" t="s">
        <v>11</v>
      </c>
      <c r="K1" s="6" t="s">
        <v>12</v>
      </c>
      <c r="L1" s="6" t="s">
        <v>13</v>
      </c>
      <c r="M1" s="6" t="s">
        <v>14</v>
      </c>
      <c r="N1" s="1" t="s">
        <v>15</v>
      </c>
      <c r="O1" s="6" t="s">
        <v>16</v>
      </c>
      <c r="P1" s="6" t="s">
        <v>17</v>
      </c>
      <c r="Q1" s="6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 x14ac:dyDescent="0.25">
      <c r="A2" s="4"/>
      <c r="B2" t="s">
        <v>47</v>
      </c>
      <c r="C2" t="s">
        <v>46</v>
      </c>
      <c r="D2" t="s">
        <v>0</v>
      </c>
      <c r="E2" t="s">
        <v>46</v>
      </c>
      <c r="F2" t="s">
        <v>0</v>
      </c>
      <c r="G2" t="s">
        <v>46</v>
      </c>
      <c r="H2" t="s">
        <v>0</v>
      </c>
      <c r="I2" t="s">
        <v>46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</row>
    <row r="3" spans="1:27" x14ac:dyDescent="0.25">
      <c r="A3" s="2">
        <v>44835</v>
      </c>
      <c r="B3">
        <v>447</v>
      </c>
      <c r="C3" t="s">
        <v>43</v>
      </c>
      <c r="D3">
        <v>368</v>
      </c>
      <c r="E3" t="s">
        <v>44</v>
      </c>
      <c r="F3">
        <v>299</v>
      </c>
      <c r="G3" t="s">
        <v>45</v>
      </c>
      <c r="H3">
        <v>266</v>
      </c>
      <c r="J3">
        <v>185</v>
      </c>
      <c r="K3">
        <v>168</v>
      </c>
      <c r="L3">
        <v>158</v>
      </c>
      <c r="M3">
        <v>156</v>
      </c>
      <c r="N3">
        <v>140</v>
      </c>
      <c r="O3">
        <v>138</v>
      </c>
      <c r="P3">
        <v>82</v>
      </c>
      <c r="Q3">
        <v>60</v>
      </c>
      <c r="R3">
        <v>57</v>
      </c>
      <c r="S3">
        <v>47</v>
      </c>
      <c r="T3">
        <v>36</v>
      </c>
      <c r="U3">
        <v>34</v>
      </c>
      <c r="V3">
        <v>31</v>
      </c>
      <c r="W3">
        <v>30</v>
      </c>
      <c r="X3">
        <v>29</v>
      </c>
      <c r="Y3">
        <v>12</v>
      </c>
      <c r="Z3">
        <v>7</v>
      </c>
      <c r="AA3">
        <v>2</v>
      </c>
    </row>
    <row r="4" spans="1:27" x14ac:dyDescent="0.25">
      <c r="A4" s="2">
        <v>44866</v>
      </c>
      <c r="B4">
        <v>511</v>
      </c>
      <c r="C4" t="s">
        <v>55</v>
      </c>
      <c r="D4">
        <v>387</v>
      </c>
      <c r="E4" t="s">
        <v>56</v>
      </c>
      <c r="F4">
        <v>293</v>
      </c>
      <c r="H4">
        <v>299</v>
      </c>
      <c r="I4" t="s">
        <v>57</v>
      </c>
      <c r="J4">
        <v>234</v>
      </c>
      <c r="K4">
        <v>144</v>
      </c>
      <c r="L4">
        <v>153</v>
      </c>
      <c r="M4">
        <v>143</v>
      </c>
      <c r="N4">
        <v>120</v>
      </c>
      <c r="O4">
        <v>112</v>
      </c>
      <c r="P4">
        <v>85</v>
      </c>
      <c r="Q4">
        <v>53</v>
      </c>
      <c r="R4">
        <v>71</v>
      </c>
      <c r="S4">
        <v>112</v>
      </c>
      <c r="T4">
        <v>45</v>
      </c>
      <c r="U4">
        <v>10</v>
      </c>
      <c r="V4">
        <v>7</v>
      </c>
      <c r="W4">
        <v>21</v>
      </c>
      <c r="X4">
        <v>11</v>
      </c>
      <c r="Y4">
        <v>15</v>
      </c>
      <c r="Z4">
        <v>6</v>
      </c>
      <c r="AA4">
        <v>3</v>
      </c>
    </row>
    <row r="5" spans="1:27" x14ac:dyDescent="0.25">
      <c r="A5" s="2">
        <v>44896</v>
      </c>
    </row>
    <row r="6" spans="1:27" x14ac:dyDescent="0.25">
      <c r="A6" s="2">
        <v>44927</v>
      </c>
    </row>
    <row r="7" spans="1:27" x14ac:dyDescent="0.25">
      <c r="A7" s="2">
        <v>44958</v>
      </c>
    </row>
    <row r="8" spans="1:27" x14ac:dyDescent="0.25">
      <c r="A8" s="2">
        <v>44986</v>
      </c>
    </row>
    <row r="9" spans="1:27" x14ac:dyDescent="0.25">
      <c r="A9" s="2">
        <v>45017</v>
      </c>
    </row>
    <row r="10" spans="1:27" x14ac:dyDescent="0.25">
      <c r="A10" s="2">
        <v>45047</v>
      </c>
    </row>
    <row r="20" spans="1:23" x14ac:dyDescent="0.25">
      <c r="A20" s="5" t="s">
        <v>67</v>
      </c>
      <c r="B20" s="5"/>
      <c r="C20" s="5"/>
      <c r="D20" s="5"/>
      <c r="E20" s="5"/>
      <c r="F20" s="5"/>
      <c r="G20" s="5"/>
      <c r="H20" s="5"/>
      <c r="I20" s="5"/>
    </row>
    <row r="22" spans="1:23" x14ac:dyDescent="0.25">
      <c r="A22" s="4" t="s">
        <v>6</v>
      </c>
    </row>
    <row r="23" spans="1:23" x14ac:dyDescent="0.25">
      <c r="A23" s="4"/>
      <c r="B23" t="s">
        <v>8</v>
      </c>
      <c r="C23" t="s">
        <v>9</v>
      </c>
      <c r="D23" t="s">
        <v>5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  <c r="K23" t="s">
        <v>16</v>
      </c>
      <c r="L23" t="s">
        <v>17</v>
      </c>
      <c r="M23" t="s">
        <v>18</v>
      </c>
      <c r="N23" t="s">
        <v>19</v>
      </c>
      <c r="O23" t="s">
        <v>20</v>
      </c>
      <c r="P23" t="s">
        <v>21</v>
      </c>
      <c r="Q23" t="s">
        <v>22</v>
      </c>
      <c r="R23" t="s">
        <v>23</v>
      </c>
      <c r="S23" t="s">
        <v>24</v>
      </c>
      <c r="T23" t="s">
        <v>25</v>
      </c>
      <c r="U23" t="s">
        <v>26</v>
      </c>
      <c r="V23" t="s">
        <v>27</v>
      </c>
      <c r="W23" t="s">
        <v>28</v>
      </c>
    </row>
    <row r="24" spans="1:23" x14ac:dyDescent="0.25">
      <c r="A24" s="2">
        <v>44835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25">
      <c r="A25" s="2">
        <v>44866</v>
      </c>
      <c r="B25" s="7">
        <f>B4/B3</f>
        <v>1.1431767337807606</v>
      </c>
      <c r="C25" s="7">
        <f>D4/D3</f>
        <v>1.0516304347826086</v>
      </c>
      <c r="D25" s="7">
        <f>F4/F3</f>
        <v>0.97993311036789299</v>
      </c>
      <c r="E25" s="7">
        <f>H4/H3</f>
        <v>1.1240601503759398</v>
      </c>
      <c r="F25" s="7">
        <f>J4/J3</f>
        <v>1.2648648648648648</v>
      </c>
      <c r="G25" s="7">
        <f>K4/K3</f>
        <v>0.8571428571428571</v>
      </c>
      <c r="H25" s="7">
        <f t="shared" ref="H25:W25" si="0">L4/L3</f>
        <v>0.96835443037974689</v>
      </c>
      <c r="I25" s="7">
        <f t="shared" si="0"/>
        <v>0.91666666666666663</v>
      </c>
      <c r="J25" s="7">
        <f t="shared" si="0"/>
        <v>0.8571428571428571</v>
      </c>
      <c r="K25" s="7">
        <f t="shared" si="0"/>
        <v>0.81159420289855078</v>
      </c>
      <c r="L25" s="7">
        <f t="shared" si="0"/>
        <v>1.0365853658536586</v>
      </c>
      <c r="M25" s="7">
        <f t="shared" si="0"/>
        <v>0.8833333333333333</v>
      </c>
      <c r="N25" s="7">
        <f t="shared" si="0"/>
        <v>1.2456140350877194</v>
      </c>
      <c r="O25" s="7">
        <f t="shared" si="0"/>
        <v>2.3829787234042552</v>
      </c>
      <c r="P25" s="7">
        <f t="shared" si="0"/>
        <v>1.25</v>
      </c>
      <c r="Q25" s="7">
        <f t="shared" si="0"/>
        <v>0.29411764705882354</v>
      </c>
      <c r="R25" s="7">
        <f t="shared" si="0"/>
        <v>0.22580645161290322</v>
      </c>
      <c r="S25" s="7">
        <f t="shared" si="0"/>
        <v>0.7</v>
      </c>
      <c r="T25" s="7">
        <f t="shared" si="0"/>
        <v>0.37931034482758619</v>
      </c>
      <c r="U25" s="7">
        <f t="shared" si="0"/>
        <v>1.25</v>
      </c>
      <c r="V25" s="7">
        <f t="shared" si="0"/>
        <v>0.8571428571428571</v>
      </c>
      <c r="W25" s="7">
        <f t="shared" si="0"/>
        <v>1.5</v>
      </c>
    </row>
    <row r="26" spans="1:23" x14ac:dyDescent="0.25">
      <c r="A26" s="2">
        <v>44896</v>
      </c>
      <c r="B26" s="7">
        <f t="shared" ref="B26:B34" si="1">B5/B4</f>
        <v>0</v>
      </c>
      <c r="C26" s="7">
        <f t="shared" ref="C26:C34" si="2">D5/D4</f>
        <v>0</v>
      </c>
      <c r="D26" s="7">
        <f t="shared" ref="D26:D34" si="3">F5/F4</f>
        <v>0</v>
      </c>
      <c r="E26" s="7">
        <f t="shared" ref="E26:E34" si="4">H5/H4</f>
        <v>0</v>
      </c>
      <c r="F26" s="7">
        <f t="shared" ref="F26:G26" si="5">J5/J4</f>
        <v>0</v>
      </c>
      <c r="G26" s="7">
        <f t="shared" si="5"/>
        <v>0</v>
      </c>
      <c r="H26" s="7">
        <f t="shared" ref="H26:H34" si="6">L5/L4</f>
        <v>0</v>
      </c>
      <c r="I26" s="7">
        <f t="shared" ref="I26:I34" si="7">M5/M4</f>
        <v>0</v>
      </c>
      <c r="J26" s="7">
        <f t="shared" ref="J26:J34" si="8">N5/N4</f>
        <v>0</v>
      </c>
      <c r="K26" s="7">
        <f t="shared" ref="K26:K34" si="9">O5/O4</f>
        <v>0</v>
      </c>
      <c r="L26" s="7">
        <f t="shared" ref="L26:L34" si="10">P5/P4</f>
        <v>0</v>
      </c>
      <c r="M26" s="7">
        <f t="shared" ref="M26:M34" si="11">Q5/Q4</f>
        <v>0</v>
      </c>
      <c r="N26" s="7">
        <f t="shared" ref="N26:N34" si="12">R5/R4</f>
        <v>0</v>
      </c>
      <c r="O26" s="7">
        <f t="shared" ref="O26:O34" si="13">S5/S4</f>
        <v>0</v>
      </c>
      <c r="P26" s="7">
        <f t="shared" ref="P26:P34" si="14">T5/T4</f>
        <v>0</v>
      </c>
      <c r="Q26" s="7">
        <f t="shared" ref="Q26:Q34" si="15">U5/U4</f>
        <v>0</v>
      </c>
      <c r="R26" s="7">
        <f t="shared" ref="R26:R34" si="16">V5/V4</f>
        <v>0</v>
      </c>
      <c r="S26" s="7">
        <f t="shared" ref="S26:S34" si="17">W5/W4</f>
        <v>0</v>
      </c>
      <c r="T26" s="7">
        <f t="shared" ref="T26:T34" si="18">X5/X4</f>
        <v>0</v>
      </c>
      <c r="U26" s="7">
        <f t="shared" ref="U26:U34" si="19">Y5/Y4</f>
        <v>0</v>
      </c>
      <c r="V26" s="7">
        <f t="shared" ref="V26:V34" si="20">Z5/Z4</f>
        <v>0</v>
      </c>
      <c r="W26" s="7">
        <f t="shared" ref="W26:W34" si="21">AA5/AA4</f>
        <v>0</v>
      </c>
    </row>
    <row r="27" spans="1:23" x14ac:dyDescent="0.25">
      <c r="A27" s="2">
        <v>44927</v>
      </c>
      <c r="B27" s="7" t="e">
        <f t="shared" si="1"/>
        <v>#DIV/0!</v>
      </c>
      <c r="C27" s="7" t="e">
        <f t="shared" si="2"/>
        <v>#DIV/0!</v>
      </c>
      <c r="D27" s="7" t="e">
        <f t="shared" si="3"/>
        <v>#DIV/0!</v>
      </c>
      <c r="E27" s="7" t="e">
        <f t="shared" si="4"/>
        <v>#DIV/0!</v>
      </c>
      <c r="F27" s="7" t="e">
        <f t="shared" ref="F27:G27" si="22">J6/J5</f>
        <v>#DIV/0!</v>
      </c>
      <c r="G27" s="7" t="e">
        <f t="shared" si="22"/>
        <v>#DIV/0!</v>
      </c>
      <c r="H27" s="7" t="e">
        <f t="shared" si="6"/>
        <v>#DIV/0!</v>
      </c>
      <c r="I27" s="7" t="e">
        <f t="shared" si="7"/>
        <v>#DIV/0!</v>
      </c>
      <c r="J27" s="7" t="e">
        <f t="shared" si="8"/>
        <v>#DIV/0!</v>
      </c>
      <c r="K27" s="7" t="e">
        <f t="shared" si="9"/>
        <v>#DIV/0!</v>
      </c>
      <c r="L27" s="7" t="e">
        <f t="shared" si="10"/>
        <v>#DIV/0!</v>
      </c>
      <c r="M27" s="7" t="e">
        <f t="shared" si="11"/>
        <v>#DIV/0!</v>
      </c>
      <c r="N27" s="7" t="e">
        <f t="shared" si="12"/>
        <v>#DIV/0!</v>
      </c>
      <c r="O27" s="7" t="e">
        <f t="shared" si="13"/>
        <v>#DIV/0!</v>
      </c>
      <c r="P27" s="7" t="e">
        <f t="shared" si="14"/>
        <v>#DIV/0!</v>
      </c>
      <c r="Q27" s="7" t="e">
        <f t="shared" si="15"/>
        <v>#DIV/0!</v>
      </c>
      <c r="R27" s="7" t="e">
        <f t="shared" si="16"/>
        <v>#DIV/0!</v>
      </c>
      <c r="S27" s="7" t="e">
        <f t="shared" si="17"/>
        <v>#DIV/0!</v>
      </c>
      <c r="T27" s="7" t="e">
        <f t="shared" si="18"/>
        <v>#DIV/0!</v>
      </c>
      <c r="U27" s="7" t="e">
        <f t="shared" si="19"/>
        <v>#DIV/0!</v>
      </c>
      <c r="V27" s="7" t="e">
        <f t="shared" si="20"/>
        <v>#DIV/0!</v>
      </c>
      <c r="W27" s="7" t="e">
        <f t="shared" si="21"/>
        <v>#DIV/0!</v>
      </c>
    </row>
    <row r="28" spans="1:23" x14ac:dyDescent="0.25">
      <c r="A28" s="2">
        <v>44958</v>
      </c>
      <c r="B28" s="7" t="e">
        <f t="shared" si="1"/>
        <v>#DIV/0!</v>
      </c>
      <c r="C28" s="7" t="e">
        <f t="shared" si="2"/>
        <v>#DIV/0!</v>
      </c>
      <c r="D28" s="7" t="e">
        <f t="shared" si="3"/>
        <v>#DIV/0!</v>
      </c>
      <c r="E28" s="7" t="e">
        <f t="shared" si="4"/>
        <v>#DIV/0!</v>
      </c>
      <c r="F28" s="7" t="e">
        <f t="shared" ref="F28:G28" si="23">J7/J6</f>
        <v>#DIV/0!</v>
      </c>
      <c r="G28" s="7" t="e">
        <f t="shared" si="23"/>
        <v>#DIV/0!</v>
      </c>
      <c r="H28" s="7" t="e">
        <f t="shared" si="6"/>
        <v>#DIV/0!</v>
      </c>
      <c r="I28" s="7" t="e">
        <f t="shared" si="7"/>
        <v>#DIV/0!</v>
      </c>
      <c r="J28" s="7" t="e">
        <f t="shared" si="8"/>
        <v>#DIV/0!</v>
      </c>
      <c r="K28" s="7" t="e">
        <f t="shared" si="9"/>
        <v>#DIV/0!</v>
      </c>
      <c r="L28" s="7" t="e">
        <f t="shared" si="10"/>
        <v>#DIV/0!</v>
      </c>
      <c r="M28" s="7" t="e">
        <f t="shared" si="11"/>
        <v>#DIV/0!</v>
      </c>
      <c r="N28" s="7" t="e">
        <f t="shared" si="12"/>
        <v>#DIV/0!</v>
      </c>
      <c r="O28" s="7" t="e">
        <f t="shared" si="13"/>
        <v>#DIV/0!</v>
      </c>
      <c r="P28" s="7" t="e">
        <f t="shared" si="14"/>
        <v>#DIV/0!</v>
      </c>
      <c r="Q28" s="7" t="e">
        <f t="shared" si="15"/>
        <v>#DIV/0!</v>
      </c>
      <c r="R28" s="7" t="e">
        <f t="shared" si="16"/>
        <v>#DIV/0!</v>
      </c>
      <c r="S28" s="7" t="e">
        <f t="shared" si="17"/>
        <v>#DIV/0!</v>
      </c>
      <c r="T28" s="7" t="e">
        <f t="shared" si="18"/>
        <v>#DIV/0!</v>
      </c>
      <c r="U28" s="7" t="e">
        <f t="shared" si="19"/>
        <v>#DIV/0!</v>
      </c>
      <c r="V28" s="7" t="e">
        <f t="shared" si="20"/>
        <v>#DIV/0!</v>
      </c>
      <c r="W28" s="7" t="e">
        <f t="shared" si="21"/>
        <v>#DIV/0!</v>
      </c>
    </row>
    <row r="29" spans="1:23" x14ac:dyDescent="0.25">
      <c r="A29" s="2">
        <v>44986</v>
      </c>
      <c r="B29" s="7" t="e">
        <f t="shared" si="1"/>
        <v>#DIV/0!</v>
      </c>
      <c r="C29" s="7" t="e">
        <f t="shared" si="2"/>
        <v>#DIV/0!</v>
      </c>
      <c r="D29" s="7" t="e">
        <f t="shared" si="3"/>
        <v>#DIV/0!</v>
      </c>
      <c r="E29" s="7" t="e">
        <f t="shared" si="4"/>
        <v>#DIV/0!</v>
      </c>
      <c r="F29" s="7" t="e">
        <f t="shared" ref="F29:G29" si="24">J8/J7</f>
        <v>#DIV/0!</v>
      </c>
      <c r="G29" s="7" t="e">
        <f t="shared" si="24"/>
        <v>#DIV/0!</v>
      </c>
      <c r="H29" s="7" t="e">
        <f t="shared" si="6"/>
        <v>#DIV/0!</v>
      </c>
      <c r="I29" s="7" t="e">
        <f t="shared" si="7"/>
        <v>#DIV/0!</v>
      </c>
      <c r="J29" s="7" t="e">
        <f t="shared" si="8"/>
        <v>#DIV/0!</v>
      </c>
      <c r="K29" s="7" t="e">
        <f t="shared" si="9"/>
        <v>#DIV/0!</v>
      </c>
      <c r="L29" s="7" t="e">
        <f t="shared" si="10"/>
        <v>#DIV/0!</v>
      </c>
      <c r="M29" s="7" t="e">
        <f t="shared" si="11"/>
        <v>#DIV/0!</v>
      </c>
      <c r="N29" s="7" t="e">
        <f t="shared" si="12"/>
        <v>#DIV/0!</v>
      </c>
      <c r="O29" s="7" t="e">
        <f t="shared" si="13"/>
        <v>#DIV/0!</v>
      </c>
      <c r="P29" s="7" t="e">
        <f t="shared" si="14"/>
        <v>#DIV/0!</v>
      </c>
      <c r="Q29" s="7" t="e">
        <f t="shared" si="15"/>
        <v>#DIV/0!</v>
      </c>
      <c r="R29" s="7" t="e">
        <f t="shared" si="16"/>
        <v>#DIV/0!</v>
      </c>
      <c r="S29" s="7" t="e">
        <f t="shared" si="17"/>
        <v>#DIV/0!</v>
      </c>
      <c r="T29" s="7" t="e">
        <f t="shared" si="18"/>
        <v>#DIV/0!</v>
      </c>
      <c r="U29" s="7" t="e">
        <f t="shared" si="19"/>
        <v>#DIV/0!</v>
      </c>
      <c r="V29" s="7" t="e">
        <f t="shared" si="20"/>
        <v>#DIV/0!</v>
      </c>
      <c r="W29" s="7" t="e">
        <f t="shared" si="21"/>
        <v>#DIV/0!</v>
      </c>
    </row>
    <row r="30" spans="1:23" x14ac:dyDescent="0.25">
      <c r="A30" s="2">
        <v>45017</v>
      </c>
      <c r="B30" s="7" t="e">
        <f t="shared" si="1"/>
        <v>#DIV/0!</v>
      </c>
      <c r="C30" s="7" t="e">
        <f t="shared" si="2"/>
        <v>#DIV/0!</v>
      </c>
      <c r="D30" s="7" t="e">
        <f t="shared" si="3"/>
        <v>#DIV/0!</v>
      </c>
      <c r="E30" s="7" t="e">
        <f t="shared" si="4"/>
        <v>#DIV/0!</v>
      </c>
      <c r="F30" s="7" t="e">
        <f t="shared" ref="F30:G30" si="25">J9/J8</f>
        <v>#DIV/0!</v>
      </c>
      <c r="G30" s="7" t="e">
        <f t="shared" si="25"/>
        <v>#DIV/0!</v>
      </c>
      <c r="H30" s="7" t="e">
        <f t="shared" si="6"/>
        <v>#DIV/0!</v>
      </c>
      <c r="I30" s="7" t="e">
        <f t="shared" si="7"/>
        <v>#DIV/0!</v>
      </c>
      <c r="J30" s="7" t="e">
        <f t="shared" si="8"/>
        <v>#DIV/0!</v>
      </c>
      <c r="K30" s="7" t="e">
        <f t="shared" si="9"/>
        <v>#DIV/0!</v>
      </c>
      <c r="L30" s="7" t="e">
        <f t="shared" si="10"/>
        <v>#DIV/0!</v>
      </c>
      <c r="M30" s="7" t="e">
        <f t="shared" si="11"/>
        <v>#DIV/0!</v>
      </c>
      <c r="N30" s="7" t="e">
        <f t="shared" si="12"/>
        <v>#DIV/0!</v>
      </c>
      <c r="O30" s="7" t="e">
        <f t="shared" si="13"/>
        <v>#DIV/0!</v>
      </c>
      <c r="P30" s="7" t="e">
        <f t="shared" si="14"/>
        <v>#DIV/0!</v>
      </c>
      <c r="Q30" s="7" t="e">
        <f t="shared" si="15"/>
        <v>#DIV/0!</v>
      </c>
      <c r="R30" s="7" t="e">
        <f t="shared" si="16"/>
        <v>#DIV/0!</v>
      </c>
      <c r="S30" s="7" t="e">
        <f t="shared" si="17"/>
        <v>#DIV/0!</v>
      </c>
      <c r="T30" s="7" t="e">
        <f t="shared" si="18"/>
        <v>#DIV/0!</v>
      </c>
      <c r="U30" s="7" t="e">
        <f t="shared" si="19"/>
        <v>#DIV/0!</v>
      </c>
      <c r="V30" s="7" t="e">
        <f t="shared" si="20"/>
        <v>#DIV/0!</v>
      </c>
      <c r="W30" s="7" t="e">
        <f t="shared" si="21"/>
        <v>#DIV/0!</v>
      </c>
    </row>
    <row r="31" spans="1:23" x14ac:dyDescent="0.25">
      <c r="A31" s="2">
        <v>45047</v>
      </c>
      <c r="B31" s="7" t="e">
        <f t="shared" si="1"/>
        <v>#DIV/0!</v>
      </c>
      <c r="C31" s="7" t="e">
        <f t="shared" si="2"/>
        <v>#DIV/0!</v>
      </c>
      <c r="D31" s="7" t="e">
        <f t="shared" si="3"/>
        <v>#DIV/0!</v>
      </c>
      <c r="E31" s="7" t="e">
        <f t="shared" si="4"/>
        <v>#DIV/0!</v>
      </c>
      <c r="F31" s="7" t="e">
        <f t="shared" ref="F31:G31" si="26">J10/J9</f>
        <v>#DIV/0!</v>
      </c>
      <c r="G31" s="7" t="e">
        <f t="shared" si="26"/>
        <v>#DIV/0!</v>
      </c>
      <c r="H31" s="7" t="e">
        <f t="shared" si="6"/>
        <v>#DIV/0!</v>
      </c>
      <c r="I31" s="7" t="e">
        <f t="shared" si="7"/>
        <v>#DIV/0!</v>
      </c>
      <c r="J31" s="7" t="e">
        <f t="shared" si="8"/>
        <v>#DIV/0!</v>
      </c>
      <c r="K31" s="7" t="e">
        <f t="shared" si="9"/>
        <v>#DIV/0!</v>
      </c>
      <c r="L31" s="7" t="e">
        <f t="shared" si="10"/>
        <v>#DIV/0!</v>
      </c>
      <c r="M31" s="7" t="e">
        <f t="shared" si="11"/>
        <v>#DIV/0!</v>
      </c>
      <c r="N31" s="7" t="e">
        <f t="shared" si="12"/>
        <v>#DIV/0!</v>
      </c>
      <c r="O31" s="7" t="e">
        <f t="shared" si="13"/>
        <v>#DIV/0!</v>
      </c>
      <c r="P31" s="7" t="e">
        <f t="shared" si="14"/>
        <v>#DIV/0!</v>
      </c>
      <c r="Q31" s="7" t="e">
        <f t="shared" si="15"/>
        <v>#DIV/0!</v>
      </c>
      <c r="R31" s="7" t="e">
        <f t="shared" si="16"/>
        <v>#DIV/0!</v>
      </c>
      <c r="S31" s="7" t="e">
        <f t="shared" si="17"/>
        <v>#DIV/0!</v>
      </c>
      <c r="T31" s="7" t="e">
        <f t="shared" si="18"/>
        <v>#DIV/0!</v>
      </c>
      <c r="U31" s="7" t="e">
        <f t="shared" si="19"/>
        <v>#DIV/0!</v>
      </c>
      <c r="V31" s="7" t="e">
        <f t="shared" si="20"/>
        <v>#DIV/0!</v>
      </c>
      <c r="W31" s="7" t="e">
        <f t="shared" si="21"/>
        <v>#DIV/0!</v>
      </c>
    </row>
    <row r="32" spans="1:23" x14ac:dyDescent="0.25">
      <c r="A32" s="2">
        <v>45078</v>
      </c>
      <c r="B32" s="7" t="e">
        <f t="shared" si="1"/>
        <v>#DIV/0!</v>
      </c>
      <c r="C32" s="7" t="e">
        <f t="shared" si="2"/>
        <v>#DIV/0!</v>
      </c>
      <c r="D32" s="7" t="e">
        <f t="shared" si="3"/>
        <v>#DIV/0!</v>
      </c>
      <c r="E32" s="7" t="e">
        <f t="shared" si="4"/>
        <v>#DIV/0!</v>
      </c>
      <c r="F32" s="7" t="e">
        <f t="shared" ref="F32:G32" si="27">J11/J10</f>
        <v>#DIV/0!</v>
      </c>
      <c r="G32" s="7" t="e">
        <f t="shared" si="27"/>
        <v>#DIV/0!</v>
      </c>
      <c r="H32" s="7" t="e">
        <f t="shared" si="6"/>
        <v>#DIV/0!</v>
      </c>
      <c r="I32" s="7" t="e">
        <f t="shared" si="7"/>
        <v>#DIV/0!</v>
      </c>
      <c r="J32" s="7" t="e">
        <f t="shared" si="8"/>
        <v>#DIV/0!</v>
      </c>
      <c r="K32" s="7" t="e">
        <f t="shared" si="9"/>
        <v>#DIV/0!</v>
      </c>
      <c r="L32" s="7" t="e">
        <f t="shared" si="10"/>
        <v>#DIV/0!</v>
      </c>
      <c r="M32" s="7" t="e">
        <f t="shared" si="11"/>
        <v>#DIV/0!</v>
      </c>
      <c r="N32" s="7" t="e">
        <f t="shared" si="12"/>
        <v>#DIV/0!</v>
      </c>
      <c r="O32" s="7" t="e">
        <f t="shared" si="13"/>
        <v>#DIV/0!</v>
      </c>
      <c r="P32" s="7" t="e">
        <f t="shared" si="14"/>
        <v>#DIV/0!</v>
      </c>
      <c r="Q32" s="7" t="e">
        <f t="shared" si="15"/>
        <v>#DIV/0!</v>
      </c>
      <c r="R32" s="7" t="e">
        <f t="shared" si="16"/>
        <v>#DIV/0!</v>
      </c>
      <c r="S32" s="7" t="e">
        <f t="shared" si="17"/>
        <v>#DIV/0!</v>
      </c>
      <c r="T32" s="7" t="e">
        <f t="shared" si="18"/>
        <v>#DIV/0!</v>
      </c>
      <c r="U32" s="7" t="e">
        <f t="shared" si="19"/>
        <v>#DIV/0!</v>
      </c>
      <c r="V32" s="7" t="e">
        <f t="shared" si="20"/>
        <v>#DIV/0!</v>
      </c>
      <c r="W32" s="7" t="e">
        <f t="shared" si="21"/>
        <v>#DIV/0!</v>
      </c>
    </row>
    <row r="33" spans="1:23" x14ac:dyDescent="0.25">
      <c r="A33" s="2">
        <v>45108</v>
      </c>
      <c r="B33" s="7" t="e">
        <f t="shared" si="1"/>
        <v>#DIV/0!</v>
      </c>
      <c r="C33" s="7" t="e">
        <f t="shared" si="2"/>
        <v>#DIV/0!</v>
      </c>
      <c r="D33" s="7" t="e">
        <f t="shared" si="3"/>
        <v>#DIV/0!</v>
      </c>
      <c r="E33" s="7" t="e">
        <f t="shared" si="4"/>
        <v>#DIV/0!</v>
      </c>
      <c r="F33" s="7" t="e">
        <f t="shared" ref="F33:G33" si="28">J12/J11</f>
        <v>#DIV/0!</v>
      </c>
      <c r="G33" s="7" t="e">
        <f t="shared" si="28"/>
        <v>#DIV/0!</v>
      </c>
      <c r="H33" s="7" t="e">
        <f t="shared" si="6"/>
        <v>#DIV/0!</v>
      </c>
      <c r="I33" s="7" t="e">
        <f t="shared" si="7"/>
        <v>#DIV/0!</v>
      </c>
      <c r="J33" s="7" t="e">
        <f t="shared" si="8"/>
        <v>#DIV/0!</v>
      </c>
      <c r="K33" s="7" t="e">
        <f t="shared" si="9"/>
        <v>#DIV/0!</v>
      </c>
      <c r="L33" s="7" t="e">
        <f t="shared" si="10"/>
        <v>#DIV/0!</v>
      </c>
      <c r="M33" s="7" t="e">
        <f t="shared" si="11"/>
        <v>#DIV/0!</v>
      </c>
      <c r="N33" s="7" t="e">
        <f t="shared" si="12"/>
        <v>#DIV/0!</v>
      </c>
      <c r="O33" s="7" t="e">
        <f t="shared" si="13"/>
        <v>#DIV/0!</v>
      </c>
      <c r="P33" s="7" t="e">
        <f t="shared" si="14"/>
        <v>#DIV/0!</v>
      </c>
      <c r="Q33" s="7" t="e">
        <f t="shared" si="15"/>
        <v>#DIV/0!</v>
      </c>
      <c r="R33" s="7" t="e">
        <f t="shared" si="16"/>
        <v>#DIV/0!</v>
      </c>
      <c r="S33" s="7" t="e">
        <f t="shared" si="17"/>
        <v>#DIV/0!</v>
      </c>
      <c r="T33" s="7" t="e">
        <f t="shared" si="18"/>
        <v>#DIV/0!</v>
      </c>
      <c r="U33" s="7" t="e">
        <f t="shared" si="19"/>
        <v>#DIV/0!</v>
      </c>
      <c r="V33" s="7" t="e">
        <f t="shared" si="20"/>
        <v>#DIV/0!</v>
      </c>
      <c r="W33" s="7" t="e">
        <f t="shared" si="21"/>
        <v>#DIV/0!</v>
      </c>
    </row>
    <row r="34" spans="1:23" x14ac:dyDescent="0.25">
      <c r="A34" s="2">
        <v>45139</v>
      </c>
      <c r="B34" s="7" t="e">
        <f t="shared" si="1"/>
        <v>#DIV/0!</v>
      </c>
      <c r="C34" s="7" t="e">
        <f t="shared" si="2"/>
        <v>#DIV/0!</v>
      </c>
      <c r="D34" s="7" t="e">
        <f t="shared" si="3"/>
        <v>#DIV/0!</v>
      </c>
      <c r="E34" s="7" t="e">
        <f t="shared" si="4"/>
        <v>#DIV/0!</v>
      </c>
      <c r="F34" s="7" t="e">
        <f t="shared" ref="F34:G34" si="29">J13/J12</f>
        <v>#DIV/0!</v>
      </c>
      <c r="G34" s="7" t="e">
        <f t="shared" si="29"/>
        <v>#DIV/0!</v>
      </c>
      <c r="H34" s="7" t="e">
        <f t="shared" si="6"/>
        <v>#DIV/0!</v>
      </c>
      <c r="I34" s="7" t="e">
        <f t="shared" si="7"/>
        <v>#DIV/0!</v>
      </c>
      <c r="J34" s="7" t="e">
        <f t="shared" si="8"/>
        <v>#DIV/0!</v>
      </c>
      <c r="K34" s="7" t="e">
        <f t="shared" si="9"/>
        <v>#DIV/0!</v>
      </c>
      <c r="L34" s="7" t="e">
        <f t="shared" si="10"/>
        <v>#DIV/0!</v>
      </c>
      <c r="M34" s="7" t="e">
        <f t="shared" si="11"/>
        <v>#DIV/0!</v>
      </c>
      <c r="N34" s="7" t="e">
        <f t="shared" si="12"/>
        <v>#DIV/0!</v>
      </c>
      <c r="O34" s="7" t="e">
        <f t="shared" si="13"/>
        <v>#DIV/0!</v>
      </c>
      <c r="P34" s="7" t="e">
        <f t="shared" si="14"/>
        <v>#DIV/0!</v>
      </c>
      <c r="Q34" s="7" t="e">
        <f t="shared" si="15"/>
        <v>#DIV/0!</v>
      </c>
      <c r="R34" s="7" t="e">
        <f t="shared" si="16"/>
        <v>#DIV/0!</v>
      </c>
      <c r="S34" s="7" t="e">
        <f t="shared" si="17"/>
        <v>#DIV/0!</v>
      </c>
      <c r="T34" s="7" t="e">
        <f t="shared" si="18"/>
        <v>#DIV/0!</v>
      </c>
      <c r="U34" s="7" t="e">
        <f t="shared" si="19"/>
        <v>#DIV/0!</v>
      </c>
      <c r="V34" s="7" t="e">
        <f t="shared" si="20"/>
        <v>#DIV/0!</v>
      </c>
      <c r="W34" s="7" t="e">
        <f t="shared" si="21"/>
        <v>#DIV/0!</v>
      </c>
    </row>
  </sheetData>
  <mergeCells count="7">
    <mergeCell ref="A1:A2"/>
    <mergeCell ref="A20:I20"/>
    <mergeCell ref="A22:A23"/>
    <mergeCell ref="H1:I1"/>
    <mergeCell ref="F1:G1"/>
    <mergeCell ref="D1:E1"/>
    <mergeCell ref="B1:C1"/>
  </mergeCells>
  <conditionalFormatting sqref="B25:W34">
    <cfRule type="colorScale" priority="1">
      <colorScale>
        <cfvo type="min"/>
        <cfvo type="num" val="1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87DA-BD2F-456B-B9ED-BED0F99A8A5C}">
  <dimension ref="A1:C9"/>
  <sheetViews>
    <sheetView workbookViewId="0">
      <selection activeCell="C3" sqref="C3"/>
    </sheetView>
  </sheetViews>
  <sheetFormatPr baseColWidth="10" defaultRowHeight="15" x14ac:dyDescent="0.25"/>
  <cols>
    <col min="1" max="1" width="8.140625" bestFit="1" customWidth="1"/>
    <col min="2" max="2" width="36.7109375" bestFit="1" customWidth="1"/>
    <col min="3" max="3" width="44.85546875" bestFit="1" customWidth="1"/>
  </cols>
  <sheetData>
    <row r="1" spans="1:3" x14ac:dyDescent="0.25">
      <c r="A1" t="s">
        <v>66</v>
      </c>
      <c r="B1" t="s">
        <v>32</v>
      </c>
      <c r="C1" t="s">
        <v>33</v>
      </c>
    </row>
    <row r="2" spans="1:3" x14ac:dyDescent="0.25">
      <c r="A2" s="2">
        <v>44835</v>
      </c>
      <c r="B2" t="s">
        <v>41</v>
      </c>
      <c r="C2" t="s">
        <v>42</v>
      </c>
    </row>
    <row r="3" spans="1:3" x14ac:dyDescent="0.25">
      <c r="A3" s="2">
        <v>44866</v>
      </c>
      <c r="B3" t="s">
        <v>53</v>
      </c>
      <c r="C3" t="s">
        <v>54</v>
      </c>
    </row>
    <row r="4" spans="1:3" x14ac:dyDescent="0.25">
      <c r="A4" s="2">
        <v>44896</v>
      </c>
    </row>
    <row r="5" spans="1:3" x14ac:dyDescent="0.25">
      <c r="A5" s="2">
        <v>44927</v>
      </c>
    </row>
    <row r="6" spans="1:3" x14ac:dyDescent="0.25">
      <c r="A6" s="2">
        <v>44958</v>
      </c>
    </row>
    <row r="7" spans="1:3" x14ac:dyDescent="0.25">
      <c r="A7" s="2">
        <v>44986</v>
      </c>
    </row>
    <row r="8" spans="1:3" x14ac:dyDescent="0.25">
      <c r="A8" s="2">
        <v>45017</v>
      </c>
    </row>
    <row r="9" spans="1:3" x14ac:dyDescent="0.25">
      <c r="A9" s="2">
        <v>45047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AC0D-B83D-4171-889A-E2CF1FAB41C9}">
  <dimension ref="A1:I26"/>
  <sheetViews>
    <sheetView workbookViewId="0">
      <selection activeCell="D3" sqref="D3"/>
    </sheetView>
  </sheetViews>
  <sheetFormatPr baseColWidth="10" defaultRowHeight="15" x14ac:dyDescent="0.25"/>
  <cols>
    <col min="1" max="1" width="23.42578125" bestFit="1" customWidth="1"/>
    <col min="2" max="2" width="24.140625" bestFit="1" customWidth="1"/>
    <col min="3" max="3" width="31.140625" bestFit="1" customWidth="1"/>
    <col min="4" max="4" width="35.85546875" bestFit="1" customWidth="1"/>
  </cols>
  <sheetData>
    <row r="1" spans="1:9" x14ac:dyDescent="0.25">
      <c r="A1" t="s">
        <v>29</v>
      </c>
      <c r="B1" t="s">
        <v>30</v>
      </c>
      <c r="C1" t="s">
        <v>31</v>
      </c>
      <c r="D1" t="s">
        <v>48</v>
      </c>
    </row>
    <row r="2" spans="1:9" x14ac:dyDescent="0.25">
      <c r="A2" s="2">
        <v>44835</v>
      </c>
      <c r="B2">
        <v>6.5957538311567296E-2</v>
      </c>
      <c r="C2">
        <v>9.3049952321572604</v>
      </c>
      <c r="D2">
        <v>36.937586775016896</v>
      </c>
    </row>
    <row r="3" spans="1:9" x14ac:dyDescent="0.25">
      <c r="A3" s="2">
        <v>44866</v>
      </c>
      <c r="B3">
        <v>8.6690219269613303E-2</v>
      </c>
      <c r="C3">
        <v>7.5849483204134298</v>
      </c>
      <c r="D3">
        <v>37.092120421420098</v>
      </c>
    </row>
    <row r="4" spans="1:9" x14ac:dyDescent="0.25">
      <c r="A4" s="2">
        <v>44896</v>
      </c>
    </row>
    <row r="5" spans="1:9" x14ac:dyDescent="0.25">
      <c r="A5" s="2">
        <v>44927</v>
      </c>
    </row>
    <row r="6" spans="1:9" x14ac:dyDescent="0.25">
      <c r="A6" s="2">
        <v>44958</v>
      </c>
    </row>
    <row r="7" spans="1:9" x14ac:dyDescent="0.25">
      <c r="A7" s="2">
        <v>44986</v>
      </c>
    </row>
    <row r="8" spans="1:9" x14ac:dyDescent="0.25">
      <c r="A8" s="2">
        <v>45017</v>
      </c>
    </row>
    <row r="9" spans="1:9" x14ac:dyDescent="0.25">
      <c r="A9" s="2">
        <v>45047</v>
      </c>
    </row>
    <row r="13" spans="1:9" x14ac:dyDescent="0.25">
      <c r="A13" s="5" t="s">
        <v>67</v>
      </c>
      <c r="B13" s="5"/>
      <c r="C13" s="5"/>
      <c r="D13" s="5"/>
      <c r="E13" s="5"/>
      <c r="F13" s="5"/>
      <c r="G13" s="5"/>
      <c r="H13" s="5"/>
      <c r="I13" s="5"/>
    </row>
    <row r="18" spans="1:4" x14ac:dyDescent="0.25">
      <c r="A18" t="s">
        <v>29</v>
      </c>
      <c r="B18" t="s">
        <v>30</v>
      </c>
      <c r="C18" t="s">
        <v>31</v>
      </c>
      <c r="D18" t="s">
        <v>48</v>
      </c>
    </row>
    <row r="19" spans="1:4" x14ac:dyDescent="0.25">
      <c r="A19" s="2">
        <v>44835</v>
      </c>
      <c r="B19">
        <v>1</v>
      </c>
      <c r="C19">
        <v>1</v>
      </c>
      <c r="D19">
        <v>1</v>
      </c>
    </row>
    <row r="20" spans="1:4" x14ac:dyDescent="0.25">
      <c r="A20" s="2">
        <v>44866</v>
      </c>
      <c r="B20" s="7">
        <f>B3/B2</f>
        <v>1.3143337590937656</v>
      </c>
      <c r="C20" s="7">
        <f t="shared" ref="C20:D20" si="0">C3/C2</f>
        <v>0.81514800719085845</v>
      </c>
      <c r="D20" s="7">
        <f t="shared" si="0"/>
        <v>1.0041836421893084</v>
      </c>
    </row>
    <row r="21" spans="1:4" x14ac:dyDescent="0.25">
      <c r="A21" s="2">
        <v>44896</v>
      </c>
      <c r="B21" s="7">
        <f t="shared" ref="B21:D21" si="1">B4/B3</f>
        <v>0</v>
      </c>
      <c r="C21" s="7">
        <f t="shared" si="1"/>
        <v>0</v>
      </c>
      <c r="D21" s="7">
        <f t="shared" si="1"/>
        <v>0</v>
      </c>
    </row>
    <row r="22" spans="1:4" x14ac:dyDescent="0.25">
      <c r="A22" s="2">
        <v>44927</v>
      </c>
      <c r="B22" s="7" t="e">
        <f t="shared" ref="B22:D22" si="2">B5/B4</f>
        <v>#DIV/0!</v>
      </c>
      <c r="C22" s="7" t="e">
        <f t="shared" si="2"/>
        <v>#DIV/0!</v>
      </c>
      <c r="D22" s="7" t="e">
        <f t="shared" si="2"/>
        <v>#DIV/0!</v>
      </c>
    </row>
    <row r="23" spans="1:4" x14ac:dyDescent="0.25">
      <c r="A23" s="2">
        <v>44958</v>
      </c>
      <c r="B23" s="7" t="e">
        <f t="shared" ref="B23:D23" si="3">B6/B5</f>
        <v>#DIV/0!</v>
      </c>
      <c r="C23" s="7" t="e">
        <f t="shared" si="3"/>
        <v>#DIV/0!</v>
      </c>
      <c r="D23" s="7" t="e">
        <f t="shared" si="3"/>
        <v>#DIV/0!</v>
      </c>
    </row>
    <row r="24" spans="1:4" x14ac:dyDescent="0.25">
      <c r="A24" s="2">
        <v>44986</v>
      </c>
      <c r="B24" s="7" t="e">
        <f t="shared" ref="B24:D24" si="4">B7/B6</f>
        <v>#DIV/0!</v>
      </c>
      <c r="C24" s="7" t="e">
        <f t="shared" si="4"/>
        <v>#DIV/0!</v>
      </c>
      <c r="D24" s="7" t="e">
        <f t="shared" si="4"/>
        <v>#DIV/0!</v>
      </c>
    </row>
    <row r="25" spans="1:4" x14ac:dyDescent="0.25">
      <c r="A25" s="2">
        <v>45017</v>
      </c>
      <c r="B25" s="7" t="e">
        <f t="shared" ref="B25:D25" si="5">B8/B7</f>
        <v>#DIV/0!</v>
      </c>
      <c r="C25" s="7" t="e">
        <f t="shared" si="5"/>
        <v>#DIV/0!</v>
      </c>
      <c r="D25" s="7" t="e">
        <f t="shared" si="5"/>
        <v>#DIV/0!</v>
      </c>
    </row>
    <row r="26" spans="1:4" x14ac:dyDescent="0.25">
      <c r="A26" s="2">
        <v>45047</v>
      </c>
      <c r="B26" s="7" t="e">
        <f t="shared" ref="B26:D26" si="6">B9/B8</f>
        <v>#DIV/0!</v>
      </c>
      <c r="C26" s="7" t="e">
        <f t="shared" si="6"/>
        <v>#DIV/0!</v>
      </c>
      <c r="D26" s="7" t="e">
        <f t="shared" si="6"/>
        <v>#DIV/0!</v>
      </c>
    </row>
  </sheetData>
  <mergeCells count="1">
    <mergeCell ref="A13:I13"/>
  </mergeCells>
  <conditionalFormatting sqref="B20:D26">
    <cfRule type="colorScale" priority="1">
      <colorScale>
        <cfvo type="min"/>
        <cfvo type="num" val="1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A777-024D-48BB-A200-D47420F171B8}">
  <dimension ref="A1:G9"/>
  <sheetViews>
    <sheetView workbookViewId="0">
      <selection activeCell="G3" sqref="G3"/>
    </sheetView>
  </sheetViews>
  <sheetFormatPr baseColWidth="10" defaultRowHeight="15" x14ac:dyDescent="0.25"/>
  <cols>
    <col min="1" max="1" width="22.28515625" bestFit="1" customWidth="1"/>
    <col min="2" max="2" width="55.28515625" bestFit="1" customWidth="1"/>
    <col min="3" max="3" width="46.28515625" bestFit="1" customWidth="1"/>
    <col min="4" max="4" width="35.140625" bestFit="1" customWidth="1"/>
    <col min="5" max="5" width="28.140625" bestFit="1" customWidth="1"/>
    <col min="6" max="6" width="14.140625" bestFit="1" customWidth="1"/>
    <col min="7" max="7" width="79.42578125" bestFit="1" customWidth="1"/>
  </cols>
  <sheetData>
    <row r="1" spans="1:7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s="4" t="s">
        <v>39</v>
      </c>
      <c r="G1" s="4"/>
    </row>
    <row r="2" spans="1:7" x14ac:dyDescent="0.25">
      <c r="A2" s="2">
        <v>44835</v>
      </c>
      <c r="B2" t="s">
        <v>59</v>
      </c>
      <c r="C2" t="s">
        <v>60</v>
      </c>
      <c r="D2" t="s">
        <v>49</v>
      </c>
      <c r="E2" t="s">
        <v>50</v>
      </c>
      <c r="F2" t="s">
        <v>51</v>
      </c>
      <c r="G2" t="s">
        <v>52</v>
      </c>
    </row>
    <row r="3" spans="1:7" x14ac:dyDescent="0.25">
      <c r="A3" s="2">
        <v>44866</v>
      </c>
      <c r="B3" t="s">
        <v>61</v>
      </c>
      <c r="C3" t="s">
        <v>58</v>
      </c>
      <c r="D3" t="s">
        <v>62</v>
      </c>
      <c r="E3" t="s">
        <v>63</v>
      </c>
      <c r="F3" t="s">
        <v>64</v>
      </c>
      <c r="G3" t="s">
        <v>65</v>
      </c>
    </row>
    <row r="4" spans="1:7" x14ac:dyDescent="0.25">
      <c r="A4" s="2">
        <v>44896</v>
      </c>
    </row>
    <row r="5" spans="1:7" x14ac:dyDescent="0.25">
      <c r="A5" s="2">
        <v>44927</v>
      </c>
    </row>
    <row r="6" spans="1:7" x14ac:dyDescent="0.25">
      <c r="A6" s="2">
        <v>44958</v>
      </c>
    </row>
    <row r="7" spans="1:7" x14ac:dyDescent="0.25">
      <c r="A7" s="2">
        <v>44986</v>
      </c>
    </row>
    <row r="8" spans="1:7" x14ac:dyDescent="0.25">
      <c r="A8" s="2">
        <v>45017</v>
      </c>
    </row>
    <row r="9" spans="1:7" x14ac:dyDescent="0.25">
      <c r="A9" s="2">
        <v>45047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Global</vt:lpstr>
      <vt:lpstr>Flairs</vt:lpstr>
      <vt:lpstr>Langage</vt:lpstr>
      <vt:lpstr>Moy users</vt:lpstr>
      <vt:lpstr>Records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Colin</dc:creator>
  <cp:lastModifiedBy>Matthieu Colin</cp:lastModifiedBy>
  <dcterms:created xsi:type="dcterms:W3CDTF">2022-12-02T21:33:04Z</dcterms:created>
  <dcterms:modified xsi:type="dcterms:W3CDTF">2022-12-03T15:51:44Z</dcterms:modified>
</cp:coreProperties>
</file>